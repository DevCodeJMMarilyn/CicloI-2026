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chelle Jiménez\Desktop\PythonPowerBI\Clase14\"/>
    </mc:Choice>
  </mc:AlternateContent>
  <xr:revisionPtr revIDLastSave="0" documentId="13_ncr:1_{A8F5BD9B-1A99-4BF3-886D-43F60DB315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J3" i="1"/>
  <c r="J4" i="1"/>
  <c r="J5" i="1"/>
  <c r="J6" i="1"/>
  <c r="K6" i="1" s="1"/>
  <c r="J7" i="1"/>
  <c r="J8" i="1"/>
  <c r="K8" i="1" s="1"/>
  <c r="J9" i="1"/>
  <c r="K9" i="1" s="1"/>
  <c r="J10" i="1"/>
  <c r="J11" i="1"/>
  <c r="J12" i="1"/>
  <c r="J13" i="1"/>
  <c r="J14" i="1"/>
  <c r="K14" i="1" s="1"/>
  <c r="J15" i="1"/>
  <c r="J16" i="1"/>
  <c r="K16" i="1" s="1"/>
  <c r="J2" i="1"/>
  <c r="K2" i="1" s="1"/>
  <c r="K3" i="1"/>
  <c r="K5" i="1"/>
  <c r="K7" i="1"/>
  <c r="K11" i="1"/>
  <c r="K12" i="1"/>
  <c r="K13" i="1"/>
  <c r="K15" i="1"/>
  <c r="K10" i="1" l="1"/>
  <c r="K4" i="1"/>
</calcChain>
</file>

<file path=xl/sharedStrings.xml><?xml version="1.0" encoding="utf-8"?>
<sst xmlns="http://schemas.openxmlformats.org/spreadsheetml/2006/main" count="71" uniqueCount="34">
  <si>
    <t>ID_Estudiante</t>
  </si>
  <si>
    <t>Edad</t>
  </si>
  <si>
    <t>Género</t>
  </si>
  <si>
    <t>Estrato_Socioeconomico</t>
  </si>
  <si>
    <t>Promedio_Notas_Semestre</t>
  </si>
  <si>
    <t>Asistencia_Porcentaje</t>
  </si>
  <si>
    <t>Horas_Estudio_Semana</t>
  </si>
  <si>
    <t>Uso_Plataforma_Virtual</t>
  </si>
  <si>
    <t>Materia_Dificil</t>
  </si>
  <si>
    <t>Nota_Definitiva</t>
  </si>
  <si>
    <t>Estado_Final</t>
  </si>
  <si>
    <t>E001</t>
  </si>
  <si>
    <t>F</t>
  </si>
  <si>
    <t>Sí</t>
  </si>
  <si>
    <t>Matemáticas</t>
  </si>
  <si>
    <t>E002</t>
  </si>
  <si>
    <t>M</t>
  </si>
  <si>
    <t>Física</t>
  </si>
  <si>
    <t>E003</t>
  </si>
  <si>
    <t>No</t>
  </si>
  <si>
    <t>E004</t>
  </si>
  <si>
    <t>Programación</t>
  </si>
  <si>
    <t>E005</t>
  </si>
  <si>
    <t>Estadística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</si>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</sst>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H24" sqref="H24"/>
    </sheetView>
  </sheetViews>
  <sheetFormatPr baseColWidth="10" defaultColWidth="8.88671875" defaultRowHeight="14.4" x14ac:dyDescent="0.3"/>
  <cols>
    <col min="1" max="1" width="12.44140625" customWidth="1"/>
    <col min="4" max="4" width="21.6640625" bestFit="1" customWidth="1"/>
    <col min="5" max="5" width="24.6640625" customWidth="1"/>
    <col min="6" max="6" width="19.33203125" customWidth="1"/>
    <col min="7" max="7" width="20.44140625" customWidth="1"/>
    <col min="8" max="8" width="20.21875" customWidth="1"/>
    <col min="9" max="9" width="21.21875" customWidth="1"/>
    <col min="10" max="10" width="19.21875" customWidth="1"/>
    <col min="11" max="11" width="20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18</v>
      </c>
      <c r="C2" t="s">
        <v>12</v>
      </c>
      <c r="D2">
        <v>2</v>
      </c>
      <c r="E2" s="1">
        <f>J2-0.3</f>
        <v>8.7333333333333343</v>
      </c>
      <c r="F2">
        <v>92</v>
      </c>
      <c r="G2">
        <v>12</v>
      </c>
      <c r="H2" t="s">
        <v>13</v>
      </c>
      <c r="I2" t="s">
        <v>14</v>
      </c>
      <c r="J2" s="1">
        <f>MIN(10,((F2/15)+(G2*0.2)+IF(H2="Sí",0.5,0)))</f>
        <v>9.033333333333335</v>
      </c>
      <c r="K2" t="str">
        <f>IF(J2&gt;=6,"Aprobado","Reprobado")</f>
        <v>Aprobado</v>
      </c>
    </row>
    <row r="3" spans="1:11" x14ac:dyDescent="0.3">
      <c r="A3" t="s">
        <v>15</v>
      </c>
      <c r="B3">
        <v>19</v>
      </c>
      <c r="C3" t="s">
        <v>16</v>
      </c>
      <c r="D3">
        <v>3</v>
      </c>
      <c r="E3" s="1">
        <f t="shared" ref="E3:E16" si="0">J3-0.3</f>
        <v>7.4666666666666677</v>
      </c>
      <c r="F3">
        <v>85</v>
      </c>
      <c r="G3">
        <v>8</v>
      </c>
      <c r="H3" t="s">
        <v>13</v>
      </c>
      <c r="I3" t="s">
        <v>17</v>
      </c>
      <c r="J3" s="1">
        <f t="shared" ref="J3:J16" si="1">MIN(10,((F3/15)+(G3*0.2)+IF(H3="Sí",0.5,0)))</f>
        <v>7.7666666666666675</v>
      </c>
      <c r="K3" t="str">
        <f t="shared" ref="K3:K16" si="2">IF(J3&gt;=6,"Aprobado","Reprobado")</f>
        <v>Aprobado</v>
      </c>
    </row>
    <row r="4" spans="1:11" x14ac:dyDescent="0.3">
      <c r="A4" t="s">
        <v>18</v>
      </c>
      <c r="B4">
        <v>20</v>
      </c>
      <c r="C4" t="s">
        <v>12</v>
      </c>
      <c r="D4">
        <v>1</v>
      </c>
      <c r="E4" s="1">
        <f t="shared" si="0"/>
        <v>5.3666666666666671</v>
      </c>
      <c r="F4">
        <v>70</v>
      </c>
      <c r="G4">
        <v>5</v>
      </c>
      <c r="H4" t="s">
        <v>19</v>
      </c>
      <c r="I4" t="s">
        <v>14</v>
      </c>
      <c r="J4" s="1">
        <f t="shared" si="1"/>
        <v>5.666666666666667</v>
      </c>
      <c r="K4" t="str">
        <f t="shared" si="2"/>
        <v>Reprobado</v>
      </c>
    </row>
    <row r="5" spans="1:11" x14ac:dyDescent="0.3">
      <c r="A5" t="s">
        <v>20</v>
      </c>
      <c r="B5">
        <v>18</v>
      </c>
      <c r="C5" t="s">
        <v>16</v>
      </c>
      <c r="D5">
        <v>2</v>
      </c>
      <c r="E5" s="1">
        <f t="shared" si="0"/>
        <v>9.6999999999999993</v>
      </c>
      <c r="F5">
        <v>98</v>
      </c>
      <c r="G5">
        <v>20</v>
      </c>
      <c r="H5" t="s">
        <v>13</v>
      </c>
      <c r="I5" t="s">
        <v>21</v>
      </c>
      <c r="J5" s="1">
        <f t="shared" si="1"/>
        <v>10</v>
      </c>
      <c r="K5" t="str">
        <f t="shared" si="2"/>
        <v>Aprobado</v>
      </c>
    </row>
    <row r="6" spans="1:11" x14ac:dyDescent="0.3">
      <c r="A6" t="s">
        <v>22</v>
      </c>
      <c r="B6">
        <v>21</v>
      </c>
      <c r="C6" t="s">
        <v>12</v>
      </c>
      <c r="D6">
        <v>4</v>
      </c>
      <c r="E6" s="1">
        <f t="shared" si="0"/>
        <v>9.1333333333333329</v>
      </c>
      <c r="F6">
        <v>89</v>
      </c>
      <c r="G6">
        <v>15</v>
      </c>
      <c r="H6" t="s">
        <v>13</v>
      </c>
      <c r="I6" t="s">
        <v>23</v>
      </c>
      <c r="J6" s="1">
        <f t="shared" si="1"/>
        <v>9.4333333333333336</v>
      </c>
      <c r="K6" t="str">
        <f t="shared" si="2"/>
        <v>Aprobado</v>
      </c>
    </row>
    <row r="7" spans="1:11" x14ac:dyDescent="0.3">
      <c r="A7" t="s">
        <v>24</v>
      </c>
      <c r="B7">
        <v>19</v>
      </c>
      <c r="C7" t="s">
        <v>16</v>
      </c>
      <c r="D7">
        <v>1</v>
      </c>
      <c r="E7" s="1">
        <f t="shared" si="0"/>
        <v>4.3</v>
      </c>
      <c r="F7">
        <v>60</v>
      </c>
      <c r="G7">
        <v>3</v>
      </c>
      <c r="H7" t="s">
        <v>19</v>
      </c>
      <c r="I7" t="s">
        <v>14</v>
      </c>
      <c r="J7" s="1">
        <f t="shared" si="1"/>
        <v>4.5999999999999996</v>
      </c>
      <c r="K7" t="str">
        <f t="shared" si="2"/>
        <v>Reprobado</v>
      </c>
    </row>
    <row r="8" spans="1:11" x14ac:dyDescent="0.3">
      <c r="A8" t="s">
        <v>25</v>
      </c>
      <c r="B8">
        <v>22</v>
      </c>
      <c r="C8" t="s">
        <v>12</v>
      </c>
      <c r="D8">
        <v>2</v>
      </c>
      <c r="E8" s="1">
        <f t="shared" si="0"/>
        <v>7.5666666666666664</v>
      </c>
      <c r="F8">
        <v>88</v>
      </c>
      <c r="G8">
        <v>10</v>
      </c>
      <c r="H8" t="s">
        <v>19</v>
      </c>
      <c r="I8" t="s">
        <v>17</v>
      </c>
      <c r="J8" s="1">
        <f t="shared" si="1"/>
        <v>7.8666666666666663</v>
      </c>
      <c r="K8" t="str">
        <f t="shared" si="2"/>
        <v>Aprobado</v>
      </c>
    </row>
    <row r="9" spans="1:11" x14ac:dyDescent="0.3">
      <c r="A9" t="s">
        <v>26</v>
      </c>
      <c r="B9">
        <v>18</v>
      </c>
      <c r="C9" t="s">
        <v>16</v>
      </c>
      <c r="D9">
        <v>3</v>
      </c>
      <c r="E9" s="1">
        <f t="shared" si="0"/>
        <v>9.6999999999999993</v>
      </c>
      <c r="F9">
        <v>95</v>
      </c>
      <c r="G9">
        <v>18</v>
      </c>
      <c r="H9" t="s">
        <v>13</v>
      </c>
      <c r="I9" t="s">
        <v>21</v>
      </c>
      <c r="J9" s="1">
        <f t="shared" si="1"/>
        <v>10</v>
      </c>
      <c r="K9" t="str">
        <f t="shared" si="2"/>
        <v>Aprobado</v>
      </c>
    </row>
    <row r="10" spans="1:11" x14ac:dyDescent="0.3">
      <c r="A10" t="s">
        <v>27</v>
      </c>
      <c r="B10">
        <v>20</v>
      </c>
      <c r="C10" t="s">
        <v>12</v>
      </c>
      <c r="D10">
        <v>2</v>
      </c>
      <c r="E10" s="1">
        <f t="shared" si="0"/>
        <v>5.7</v>
      </c>
      <c r="F10">
        <v>72</v>
      </c>
      <c r="G10">
        <v>6</v>
      </c>
      <c r="H10" t="s">
        <v>19</v>
      </c>
      <c r="I10" t="s">
        <v>14</v>
      </c>
      <c r="J10" s="1">
        <f t="shared" si="1"/>
        <v>6</v>
      </c>
      <c r="K10" t="str">
        <f t="shared" si="2"/>
        <v>Aprobado</v>
      </c>
    </row>
    <row r="11" spans="1:11" x14ac:dyDescent="0.3">
      <c r="A11" t="s">
        <v>28</v>
      </c>
      <c r="B11">
        <v>19</v>
      </c>
      <c r="C11" t="s">
        <v>16</v>
      </c>
      <c r="D11">
        <v>3</v>
      </c>
      <c r="E11" s="1">
        <f t="shared" si="0"/>
        <v>8.3999999999999986</v>
      </c>
      <c r="F11">
        <v>90</v>
      </c>
      <c r="G11">
        <v>11</v>
      </c>
      <c r="H11" t="s">
        <v>13</v>
      </c>
      <c r="I11" t="s">
        <v>23</v>
      </c>
      <c r="J11" s="1">
        <f t="shared" si="1"/>
        <v>8.6999999999999993</v>
      </c>
      <c r="K11" t="str">
        <f t="shared" si="2"/>
        <v>Aprobado</v>
      </c>
    </row>
    <row r="12" spans="1:11" x14ac:dyDescent="0.3">
      <c r="A12" t="s">
        <v>29</v>
      </c>
      <c r="B12">
        <v>20</v>
      </c>
      <c r="C12" t="s">
        <v>16</v>
      </c>
      <c r="D12">
        <v>1</v>
      </c>
      <c r="E12" s="1">
        <f t="shared" si="0"/>
        <v>3.7666666666666666</v>
      </c>
      <c r="F12">
        <v>55</v>
      </c>
      <c r="G12">
        <v>2</v>
      </c>
      <c r="H12" t="s">
        <v>19</v>
      </c>
      <c r="I12" t="s">
        <v>14</v>
      </c>
      <c r="J12" s="1">
        <f t="shared" si="1"/>
        <v>4.0666666666666664</v>
      </c>
      <c r="K12" t="str">
        <f t="shared" si="2"/>
        <v>Reprobado</v>
      </c>
    </row>
    <row r="13" spans="1:11" x14ac:dyDescent="0.3">
      <c r="A13" t="s">
        <v>30</v>
      </c>
      <c r="B13">
        <v>18</v>
      </c>
      <c r="C13" t="s">
        <v>12</v>
      </c>
      <c r="D13">
        <v>4</v>
      </c>
      <c r="E13" s="1">
        <f t="shared" si="0"/>
        <v>9.6999999999999993</v>
      </c>
      <c r="F13">
        <v>99</v>
      </c>
      <c r="G13">
        <v>25</v>
      </c>
      <c r="H13" t="s">
        <v>13</v>
      </c>
      <c r="I13" t="s">
        <v>21</v>
      </c>
      <c r="J13" s="1">
        <f t="shared" si="1"/>
        <v>10</v>
      </c>
      <c r="K13" t="str">
        <f t="shared" si="2"/>
        <v>Aprobado</v>
      </c>
    </row>
    <row r="14" spans="1:11" x14ac:dyDescent="0.3">
      <c r="A14" t="s">
        <v>31</v>
      </c>
      <c r="B14">
        <v>21</v>
      </c>
      <c r="C14" t="s">
        <v>16</v>
      </c>
      <c r="D14">
        <v>2</v>
      </c>
      <c r="E14" s="1">
        <f t="shared" si="0"/>
        <v>6.833333333333333</v>
      </c>
      <c r="F14">
        <v>80</v>
      </c>
      <c r="G14">
        <v>9</v>
      </c>
      <c r="H14" t="s">
        <v>19</v>
      </c>
      <c r="I14" t="s">
        <v>17</v>
      </c>
      <c r="J14" s="1">
        <f t="shared" si="1"/>
        <v>7.1333333333333329</v>
      </c>
      <c r="K14" t="str">
        <f t="shared" si="2"/>
        <v>Aprobado</v>
      </c>
    </row>
    <row r="15" spans="1:11" x14ac:dyDescent="0.3">
      <c r="A15" t="s">
        <v>32</v>
      </c>
      <c r="B15">
        <v>22</v>
      </c>
      <c r="C15" t="s">
        <v>12</v>
      </c>
      <c r="D15">
        <v>3</v>
      </c>
      <c r="E15" s="1">
        <f t="shared" si="0"/>
        <v>6.6000000000000005</v>
      </c>
      <c r="F15">
        <v>75</v>
      </c>
      <c r="G15">
        <v>7</v>
      </c>
      <c r="H15" t="s">
        <v>13</v>
      </c>
      <c r="I15" t="s">
        <v>23</v>
      </c>
      <c r="J15" s="1">
        <f t="shared" si="1"/>
        <v>6.9</v>
      </c>
      <c r="K15" t="str">
        <f t="shared" si="2"/>
        <v>Aprobado</v>
      </c>
    </row>
    <row r="16" spans="1:11" x14ac:dyDescent="0.3">
      <c r="A16" t="s">
        <v>33</v>
      </c>
      <c r="B16">
        <v>18</v>
      </c>
      <c r="C16" t="s">
        <v>16</v>
      </c>
      <c r="D16">
        <v>2</v>
      </c>
      <c r="E16" s="1">
        <f t="shared" si="0"/>
        <v>9.0666666666666664</v>
      </c>
      <c r="F16">
        <v>91</v>
      </c>
      <c r="G16">
        <v>14</v>
      </c>
      <c r="H16" t="s">
        <v>13</v>
      </c>
      <c r="I16" t="s">
        <v>14</v>
      </c>
      <c r="J16" s="1">
        <f t="shared" si="1"/>
        <v>9.3666666666666671</v>
      </c>
      <c r="K16" t="str">
        <f t="shared" si="2"/>
        <v>Aprobado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Herrera</dc:creator>
  <cp:lastModifiedBy>Marilyn Michelle Jiménez Arias</cp:lastModifiedBy>
  <dcterms:created xsi:type="dcterms:W3CDTF">2015-06-05T18:19:34Z</dcterms:created>
  <dcterms:modified xsi:type="dcterms:W3CDTF">2026-05-10T03:49:45Z</dcterms:modified>
</cp:coreProperties>
</file>